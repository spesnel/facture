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workspaces\facture\facture-bo\package\template\"/>
    </mc:Choice>
  </mc:AlternateContent>
  <xr:revisionPtr revIDLastSave="0" documentId="13_ncr:1_{D56F0928-F15B-4454-8B4E-3343D083969C}" xr6:coauthVersionLast="47" xr6:coauthVersionMax="47" xr10:uidLastSave="{00000000-0000-0000-0000-000000000000}"/>
  <bookViews>
    <workbookView xWindow="2616" yWindow="2616" windowWidth="17280" windowHeight="8880" xr2:uid="{7131B3E8-5F90-4DF2-8505-A5A57C9A5287}"/>
  </bookViews>
  <sheets>
    <sheet name="SUIVI PAIEMENTS" sheetId="3" r:id="rId1"/>
    <sheet name="PA FOURNISSEURS" sheetId="5" r:id="rId2"/>
    <sheet name="PA COLLABORATEURS" sheetId="4" r:id="rId3"/>
    <sheet name="PA DESCRIPTION FACT" sheetId="7" state="hidden" r:id="rId4"/>
    <sheet name="PA CONCERNE (LIEU FACT)" sheetId="8" state="hidden" r:id="rId5"/>
  </sheets>
  <definedNames>
    <definedName name="_xlnm._FilterDatabase" localSheetId="2" hidden="1">'PA COLLABORATEURS'!$B$1:$B$16</definedName>
    <definedName name="_xlnm._FilterDatabase" localSheetId="4" hidden="1">'PA CONCERNE (LIEU FACT)'!$B$1:$B$9</definedName>
    <definedName name="_xlnm._FilterDatabase" localSheetId="3" hidden="1">'PA DESCRIPTION FACT'!$B$1:$B$7</definedName>
    <definedName name="_xlnm._FilterDatabase" localSheetId="1" hidden="1">'PA FOURNISSEURS'!$B$1:$B$22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3" l="1"/>
  <c r="M3" i="3"/>
  <c r="M2" i="3"/>
  <c r="K2" i="3"/>
</calcChain>
</file>

<file path=xl/sharedStrings.xml><?xml version="1.0" encoding="utf-8"?>
<sst xmlns="http://schemas.openxmlformats.org/spreadsheetml/2006/main" count="100" uniqueCount="96">
  <si>
    <t>COLLABORATEURS</t>
  </si>
  <si>
    <t>FOURNISSEURS</t>
  </si>
  <si>
    <t>MONTANT TTC (€)</t>
  </si>
  <si>
    <t>DESCRIPTION</t>
  </si>
  <si>
    <t>CONCERNE</t>
  </si>
  <si>
    <t>COMMUNICATION STRUCTURÉE</t>
  </si>
  <si>
    <t>DATE FACT</t>
  </si>
  <si>
    <t>ÉCHÉANCE</t>
  </si>
  <si>
    <t>STATUT</t>
  </si>
  <si>
    <t>DATE TRAITEMENT VIREMENT</t>
  </si>
  <si>
    <t>STATUT PAIEMENT</t>
  </si>
  <si>
    <t>PROXIMUS</t>
  </si>
  <si>
    <t>Facture</t>
  </si>
  <si>
    <t>COUVREUR Alain</t>
  </si>
  <si>
    <t xml:space="preserve">Rémunération </t>
  </si>
  <si>
    <t>-</t>
  </si>
  <si>
    <t>LETOT Stéphane</t>
  </si>
  <si>
    <t>GICART Dany</t>
  </si>
  <si>
    <t>CLUB 44</t>
  </si>
  <si>
    <t>PLUXEE</t>
  </si>
  <si>
    <t xml:space="preserve">CFP CONSULTING </t>
  </si>
  <si>
    <t>CLAIR-OFFICE</t>
  </si>
  <si>
    <t>LIMA GOMEZ Maria</t>
  </si>
  <si>
    <t>UNAA</t>
  </si>
  <si>
    <t>Facture INTRA</t>
  </si>
  <si>
    <t>GROUP S SECRETARIAT SOCIAL ASBL</t>
  </si>
  <si>
    <t>SEWAN</t>
  </si>
  <si>
    <t>ACQUA ALTA ATELIER NINA</t>
  </si>
  <si>
    <t>PELCHAT Pierre Edouard</t>
  </si>
  <si>
    <t>Note de frais</t>
  </si>
  <si>
    <t>COGER (PELCHAT Pierre Edouard)</t>
  </si>
  <si>
    <t>BLIBLI Mouna</t>
  </si>
  <si>
    <t xml:space="preserve">EGOROVA Maria </t>
  </si>
  <si>
    <t xml:space="preserve">GENET Romain </t>
  </si>
  <si>
    <t xml:space="preserve">A3C (GENET Romain) </t>
  </si>
  <si>
    <t xml:space="preserve">MEUNIER Maxime </t>
  </si>
  <si>
    <t>OFFIMEX</t>
  </si>
  <si>
    <t>SECUREX</t>
  </si>
  <si>
    <t xml:space="preserve">GARD Damien </t>
  </si>
  <si>
    <t xml:space="preserve">Loyer </t>
  </si>
  <si>
    <t xml:space="preserve">MIRA STUDIO </t>
  </si>
  <si>
    <t xml:space="preserve">GENIUM </t>
  </si>
  <si>
    <t>SIXT</t>
  </si>
  <si>
    <t xml:space="preserve">PERFECT CLEANING SERVICE </t>
  </si>
  <si>
    <t>DECOSTER ATOMA</t>
  </si>
  <si>
    <t>VDK</t>
  </si>
  <si>
    <t xml:space="preserve">VIVAQUA </t>
  </si>
  <si>
    <t>UNIQU3 CONSTRUCT</t>
  </si>
  <si>
    <t>UPSI-BVS</t>
  </si>
  <si>
    <t xml:space="preserve">DHL EXPRESS </t>
  </si>
  <si>
    <t>BUREAU DELFORGE</t>
  </si>
  <si>
    <t>AXA</t>
  </si>
  <si>
    <t>Quittance</t>
  </si>
  <si>
    <t xml:space="preserve">FOURNISSEURS </t>
  </si>
  <si>
    <t>AIRTERM</t>
  </si>
  <si>
    <t>ARCOGES</t>
  </si>
  <si>
    <t>ENTREPRISES GÉNÉRALES DE PEINTURES</t>
  </si>
  <si>
    <t>HAERNE</t>
  </si>
  <si>
    <t>UNAGR</t>
  </si>
  <si>
    <t xml:space="preserve">COLLABORATEURS </t>
  </si>
  <si>
    <t>BIBLI Mouna (NDF)</t>
  </si>
  <si>
    <t>FINTRO (MAHY Nicolas)</t>
  </si>
  <si>
    <t xml:space="preserve">MAHY Nicolas </t>
  </si>
  <si>
    <t>DESCRIPTION FACT</t>
  </si>
  <si>
    <t>Avoir</t>
  </si>
  <si>
    <t>Honoraires</t>
  </si>
  <si>
    <t>CONCERNE (LIEU PRESTATION)</t>
  </si>
  <si>
    <t>CHAMPS ELYSÉES</t>
  </si>
  <si>
    <t>LIMITE</t>
  </si>
  <si>
    <t>WAT715</t>
  </si>
  <si>
    <t>ZAMENHOF</t>
  </si>
  <si>
    <t>Remboursement Avance</t>
  </si>
  <si>
    <t xml:space="preserve">Avance </t>
  </si>
  <si>
    <t>ENGIE</t>
  </si>
  <si>
    <t>PARTENA ASI</t>
  </si>
  <si>
    <t>Légende :</t>
  </si>
  <si>
    <t>NOUVEAUX VIREMENTS ÉMIS</t>
  </si>
  <si>
    <t>TEEKAY INC. BV / SUMMIT SOLUTIONS</t>
  </si>
  <si>
    <t>COMPTE BQ</t>
  </si>
  <si>
    <t>NON ENGAGÉ (en attente, retour indication ou de déblocage)</t>
  </si>
  <si>
    <t>IMAGINE</t>
  </si>
  <si>
    <t>A. AMY (NOYEL Pascal)</t>
  </si>
  <si>
    <t>PESNEL Laurence</t>
  </si>
  <si>
    <t>AMIRI LAMRASKI Madjid</t>
  </si>
  <si>
    <t xml:space="preserve">BURGOS Rodriguez </t>
  </si>
  <si>
    <t>CEA</t>
  </si>
  <si>
    <t>EVERS Jasmine</t>
  </si>
  <si>
    <t>HAJIBAGHERI Faezeh</t>
  </si>
  <si>
    <t>KODO Mounit</t>
  </si>
  <si>
    <t>ORDRE DES ARCHITECTES</t>
  </si>
  <si>
    <t>PRISTAVU Marian</t>
  </si>
  <si>
    <t>INV-017</t>
  </si>
  <si>
    <t>VINGAN Razvan</t>
  </si>
  <si>
    <t>GICART-GODARD</t>
  </si>
  <si>
    <t>RENAUD Joel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</si>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</sst>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4" fontId="0" fillId="0" borderId="0" xfId="0" applyNumberFormat="1" applyAlignment="1">
      <alignment horizontal="right" indent="1"/>
    </xf>
    <xf numFmtId="0" fontId="0" fillId="0" borderId="3" xfId="0" applyBorder="1"/>
    <xf numFmtId="0" fontId="0" fillId="0" borderId="0" xfId="0" applyAlignment="1">
      <alignment horizontal="left" vertical="center" indent="1"/>
    </xf>
    <xf numFmtId="49" fontId="0" fillId="0" borderId="0" xfId="0" applyNumberFormat="1" applyAlignment="1">
      <alignment horizontal="left" indent="1"/>
    </xf>
    <xf numFmtId="14" fontId="0" fillId="0" borderId="0" xfId="0" applyNumberFormat="1"/>
    <xf numFmtId="0" fontId="0" fillId="3" borderId="0" xfId="0" applyFill="1"/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</cellXfs>
  <cellStyles count="1">
    <cellStyle name="Normal" xfId="0" builtinId="0"/>
  </cellStyles>
  <dxfs count="13"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9" formatCode="dd/mm/yyyy"/>
      <alignment horizontal="left" vertical="bottom" textRotation="0" wrapText="0" indent="1" justifyLastLine="0" shrinkToFit="0" readingOrder="0"/>
    </dxf>
    <dxf>
      <numFmt numFmtId="19" formatCode="dd/mm/yyyy"/>
      <alignment horizontal="left" vertical="bottom" textRotation="0" wrapText="0" indent="1" justifyLastLine="0" shrinkToFit="0" readingOrder="0"/>
    </dxf>
    <dxf>
      <numFmt numFmtId="30" formatCode="@"/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left" vertical="bottom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3175F-8DFE-415A-8889-6E8FA85B4C45}" name="Tableau2" displayName="Tableau2" ref="A1:M3" totalsRowShown="0" headerRowDxfId="12">
  <autoFilter ref="A1:M3" xr:uid="{12B3175F-8DFE-415A-8889-6E8FA85B4C45}"/>
  <sortState xmlns:xlrd2="http://schemas.microsoft.com/office/spreadsheetml/2017/richdata2" ref="A3:M3">
    <sortCondition ref="A1:A3"/>
  </sortState>
  <tableColumns count="13">
    <tableColumn id="1" xr3:uid="{D580B781-626B-47ED-9E33-88B1C3257B58}" name="COMPTE BQ" dataDxfId="11"/>
    <tableColumn id="10" xr3:uid="{4CBFF470-75D3-4866-9DE5-E251B5E8CDEC}" name="COLLABORATEURS" dataDxfId="10"/>
    <tableColumn id="2" xr3:uid="{6FD40944-B9F1-40E4-88DF-8624D98AC5DF}" name="FOURNISSEURS" dataDxfId="9"/>
    <tableColumn id="3" xr3:uid="{E8FD17FE-314F-4D91-993D-D7FACDC6A8F3}" name="MONTANT TTC (€)" dataDxfId="8"/>
    <tableColumn id="4" xr3:uid="{E1BD79A9-7480-4D05-BAFC-DD0BB9B8F585}" name="DESCRIPTION" dataDxfId="7"/>
    <tableColumn id="9" xr3:uid="{6E27EA4C-D13D-407D-A718-40E6E7B2F8CF}" name="CONCERNE" dataDxfId="6"/>
    <tableColumn id="5" xr3:uid="{2537F563-52AF-49C7-8ABD-B381C408C56D}" name="INV-017" dataDxfId="5"/>
    <tableColumn id="12" xr3:uid="{79CC425B-8E1E-4E74-B679-2230FEFCFB31}" name="COMMUNICATION STRUCTURÉE" dataDxfId="4"/>
    <tableColumn id="6" xr3:uid="{4E8C3FB9-B86B-468A-B24D-BD72DB5C3826}" name="DATE FACT" dataDxfId="3"/>
    <tableColumn id="7" xr3:uid="{EF1F0FAB-9D76-4C37-98F9-995A145977AE}" name="ÉCHÉANCE" dataDxfId="2"/>
    <tableColumn id="11" xr3:uid="{3A0F6B99-FF03-43BA-933E-5000AAAC3C5A}" name="STATUT" dataDxfId="1">
      <calculatedColumnFormula>IF(OR(J2="",J2="-"),"⏳ À payer",IF(J2&lt;TODAY(),"⚠️ En retard","⏳ À payer"))</calculatedColumnFormula>
    </tableColumn>
    <tableColumn id="13" xr3:uid="{350DC6A5-ECB6-46EE-B2F9-F8267E68C61B}" name="DATE TRAITEMENT VIREMENT"/>
    <tableColumn id="8" xr3:uid="{48175013-7384-418B-9F73-84F7E8C0B962}" name="STATUT PAIEMENT" dataDxfId="0">
      <calculatedColumnFormula>+IF(AND(L2&lt;&gt;"",L2&lt;&gt;"-"),"✅ Payé","❌ Non payé")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6621-A402-4C46-B854-76E7F2631C74}">
  <dimension ref="A1:X3"/>
  <sheetViews>
    <sheetView tabSelected="1" zoomScale="90" zoomScaleNormal="9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K2" sqref="K2"/>
    </sheetView>
  </sheetViews>
  <sheetFormatPr baseColWidth="10" defaultColWidth="11.44140625" defaultRowHeight="14.4" x14ac:dyDescent="0.3"/>
  <cols>
    <col min="1" max="1" width="14.33203125" customWidth="1"/>
    <col min="2" max="2" width="33" customWidth="1"/>
    <col min="3" max="3" width="33.5546875" customWidth="1"/>
    <col min="4" max="4" width="18.88671875" customWidth="1"/>
    <col min="5" max="5" width="17.33203125" customWidth="1"/>
    <col min="6" max="6" width="18.5546875" customWidth="1"/>
    <col min="7" max="7" width="23.44140625" customWidth="1"/>
    <col min="8" max="8" width="25" customWidth="1"/>
    <col min="9" max="9" width="14.33203125" customWidth="1"/>
    <col min="10" max="11" width="14.44140625" customWidth="1"/>
    <col min="12" max="12" width="19.5546875" customWidth="1"/>
    <col min="13" max="13" width="20.5546875" customWidth="1"/>
    <col min="14" max="14" width="13" customWidth="1"/>
  </cols>
  <sheetData>
    <row r="1" spans="1:24" s="3" customFormat="1" ht="35.25" customHeight="1" x14ac:dyDescent="0.3">
      <c r="A1" s="4" t="s">
        <v>78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91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O1" s="18" t="s">
        <v>75</v>
      </c>
      <c r="P1" s="15" t="s">
        <v>79</v>
      </c>
      <c r="Q1" s="16"/>
      <c r="R1" s="16"/>
      <c r="S1" s="16"/>
      <c r="T1" s="16"/>
      <c r="U1" s="14"/>
      <c r="V1" s="17" t="s">
        <v>76</v>
      </c>
      <c r="W1" s="13"/>
      <c r="X1" s="13"/>
    </row>
    <row r="2" spans="1:24" x14ac:dyDescent="0.3">
      <c r="A2" s="7">
        <v>6327</v>
      </c>
      <c r="B2" s="10"/>
      <c r="C2" s="1"/>
      <c r="D2" s="8">
        <v>14280</v>
      </c>
      <c r="E2" s="1" t="s">
        <v>12</v>
      </c>
      <c r="F2" s="1"/>
      <c r="G2" s="11" t="s">
        <v>95</v>
      </c>
      <c r="H2" s="11"/>
      <c r="I2" s="2" t="s">
        <v>15</v>
      </c>
      <c r="J2" s="2" t="s">
        <v>15</v>
      </c>
      <c r="K2" t="str">
        <f t="shared" ref="K2" ca="1" si="0">IF(OR(J2="",J2="-"),"⏳ À payer",IF(J2&lt;TODAY(),"⚠️ En retard","⏳ À payer"))</f>
        <v>⏳ À payer</v>
      </c>
      <c r="L2" s="12">
        <v>46148</v>
      </c>
      <c r="M2" s="2" t="str">
        <f t="shared" ref="M2" si="1">+IF(AND(L2&lt;&gt;"",L2&lt;&gt;"-"),"✅ Payé","❌ Non payé")</f>
        <v>✅ Payé</v>
      </c>
    </row>
    <row r="3" spans="1:24" x14ac:dyDescent="0.3">
      <c r="A3" s="7"/>
      <c r="B3" s="10"/>
      <c r="C3" s="1"/>
      <c r="D3" s="8"/>
      <c r="E3" s="1"/>
      <c r="F3" s="1"/>
      <c r="G3" s="11"/>
      <c r="H3" s="11"/>
      <c r="I3" s="2"/>
      <c r="J3" s="2"/>
      <c r="K3" t="str">
        <f t="shared" ref="K3" ca="1" si="2">IF(OR(J3="",J3="-"),"⏳ À payer",IF(J3&lt;TODAY(),"⚠️ En retard","⏳ À payer"))</f>
        <v>⏳ À payer</v>
      </c>
      <c r="L3" s="12"/>
      <c r="M3" s="2" t="str">
        <f t="shared" ref="M3" si="3">+IF(AND(L3&lt;&gt;"",L3&lt;&gt;"-"),"✅ Payé","❌ Non payé")</f>
        <v>❌ Non payé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0ADC337-9F4A-4799-BAC2-EC98B969324B}">
          <x14:formula1>
            <xm:f>'PA DESCRIPTION FACT'!$B$2:$B$12</xm:f>
          </x14:formula1>
          <xm:sqref>E2:E3</xm:sqref>
        </x14:dataValidation>
        <x14:dataValidation type="list" allowBlank="1" showInputMessage="1" showErrorMessage="1" xr:uid="{A3F31B7B-C479-46AB-9B42-A605EB431FA7}">
          <x14:formula1>
            <xm:f>'PA CONCERNE (LIEU FACT)'!$B$2:$B$12</xm:f>
          </x14:formula1>
          <xm:sqref>F2:F3</xm:sqref>
        </x14:dataValidation>
        <x14:dataValidation type="list" allowBlank="1" showInputMessage="1" showErrorMessage="1" xr:uid="{E3117501-561F-4699-9BEA-95F5AEF83E7A}">
          <x14:formula1>
            <xm:f>'PA COLLABORATEURS'!$B$2:$B$40</xm:f>
          </x14:formula1>
          <xm:sqref>B2:B3</xm:sqref>
        </x14:dataValidation>
        <x14:dataValidation type="list" allowBlank="1" showInputMessage="1" showErrorMessage="1" xr:uid="{59BD03DD-93DE-4C7A-B181-033731480CED}">
          <x14:formula1>
            <xm:f>'PA FOURNISSEURS'!$B$2:$B$284</xm:f>
          </x14:formula1>
          <xm:sqref>C2:C3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F395-8F6D-4EA3-A756-C3AC1E87E952}">
  <dimension ref="B1:B40"/>
  <sheetViews>
    <sheetView workbookViewId="0">
      <selection activeCell="D21" sqref="D21"/>
    </sheetView>
  </sheetViews>
  <sheetFormatPr baseColWidth="10" defaultColWidth="11.44140625" defaultRowHeight="14.4" x14ac:dyDescent="0.3"/>
  <cols>
    <col min="1" max="1" width="4.6640625" customWidth="1"/>
    <col min="2" max="2" width="36" bestFit="1" customWidth="1"/>
  </cols>
  <sheetData>
    <row r="1" spans="2:2" ht="37.5" customHeight="1" x14ac:dyDescent="0.3">
      <c r="B1" s="5" t="s">
        <v>53</v>
      </c>
    </row>
    <row r="2" spans="2:2" x14ac:dyDescent="0.3">
      <c r="B2" s="9" t="s">
        <v>27</v>
      </c>
    </row>
    <row r="3" spans="2:2" x14ac:dyDescent="0.3">
      <c r="B3" s="9" t="s">
        <v>54</v>
      </c>
    </row>
    <row r="4" spans="2:2" x14ac:dyDescent="0.3">
      <c r="B4" s="9" t="s">
        <v>55</v>
      </c>
    </row>
    <row r="5" spans="2:2" x14ac:dyDescent="0.3">
      <c r="B5" s="9" t="s">
        <v>51</v>
      </c>
    </row>
    <row r="6" spans="2:2" x14ac:dyDescent="0.3">
      <c r="B6" s="9" t="s">
        <v>50</v>
      </c>
    </row>
    <row r="7" spans="2:2" x14ac:dyDescent="0.3">
      <c r="B7" s="9" t="s">
        <v>85</v>
      </c>
    </row>
    <row r="8" spans="2:2" x14ac:dyDescent="0.3">
      <c r="B8" s="9" t="s">
        <v>20</v>
      </c>
    </row>
    <row r="9" spans="2:2" x14ac:dyDescent="0.3">
      <c r="B9" s="9" t="s">
        <v>21</v>
      </c>
    </row>
    <row r="10" spans="2:2" x14ac:dyDescent="0.3">
      <c r="B10" s="9" t="s">
        <v>18</v>
      </c>
    </row>
    <row r="11" spans="2:2" x14ac:dyDescent="0.3">
      <c r="B11" s="9" t="s">
        <v>49</v>
      </c>
    </row>
    <row r="12" spans="2:2" x14ac:dyDescent="0.3">
      <c r="B12" s="9" t="s">
        <v>73</v>
      </c>
    </row>
    <row r="13" spans="2:2" x14ac:dyDescent="0.3">
      <c r="B13" s="9" t="s">
        <v>56</v>
      </c>
    </row>
    <row r="14" spans="2:2" x14ac:dyDescent="0.3">
      <c r="B14" s="9" t="s">
        <v>38</v>
      </c>
    </row>
    <row r="15" spans="2:2" x14ac:dyDescent="0.3">
      <c r="B15" s="9" t="s">
        <v>41</v>
      </c>
    </row>
    <row r="16" spans="2:2" x14ac:dyDescent="0.3">
      <c r="B16" s="9" t="s">
        <v>93</v>
      </c>
    </row>
    <row r="17" spans="2:2" x14ac:dyDescent="0.3">
      <c r="B17" s="9" t="s">
        <v>25</v>
      </c>
    </row>
    <row r="18" spans="2:2" x14ac:dyDescent="0.3">
      <c r="B18" s="9" t="s">
        <v>57</v>
      </c>
    </row>
    <row r="19" spans="2:2" x14ac:dyDescent="0.3">
      <c r="B19" s="9" t="s">
        <v>80</v>
      </c>
    </row>
    <row r="20" spans="2:2" x14ac:dyDescent="0.3">
      <c r="B20" s="9" t="s">
        <v>40</v>
      </c>
    </row>
    <row r="21" spans="2:2" x14ac:dyDescent="0.3">
      <c r="B21" s="9" t="s">
        <v>36</v>
      </c>
    </row>
    <row r="22" spans="2:2" x14ac:dyDescent="0.3">
      <c r="B22" s="9" t="s">
        <v>89</v>
      </c>
    </row>
    <row r="23" spans="2:2" x14ac:dyDescent="0.3">
      <c r="B23" s="9" t="s">
        <v>74</v>
      </c>
    </row>
    <row r="24" spans="2:2" x14ac:dyDescent="0.3">
      <c r="B24" s="9" t="s">
        <v>43</v>
      </c>
    </row>
    <row r="25" spans="2:2" x14ac:dyDescent="0.3">
      <c r="B25" s="9" t="s">
        <v>19</v>
      </c>
    </row>
    <row r="26" spans="2:2" x14ac:dyDescent="0.3">
      <c r="B26" s="9" t="s">
        <v>11</v>
      </c>
    </row>
    <row r="27" spans="2:2" x14ac:dyDescent="0.3">
      <c r="B27" s="9" t="s">
        <v>94</v>
      </c>
    </row>
    <row r="28" spans="2:2" x14ac:dyDescent="0.3">
      <c r="B28" s="9" t="s">
        <v>37</v>
      </c>
    </row>
    <row r="29" spans="2:2" x14ac:dyDescent="0.3">
      <c r="B29" s="9" t="s">
        <v>26</v>
      </c>
    </row>
    <row r="30" spans="2:2" x14ac:dyDescent="0.3">
      <c r="B30" s="9" t="s">
        <v>42</v>
      </c>
    </row>
    <row r="31" spans="2:2" x14ac:dyDescent="0.3">
      <c r="B31" s="9" t="s">
        <v>77</v>
      </c>
    </row>
    <row r="32" spans="2:2" x14ac:dyDescent="0.3">
      <c r="B32" s="9" t="s">
        <v>23</v>
      </c>
    </row>
    <row r="33" spans="2:2" x14ac:dyDescent="0.3">
      <c r="B33" s="9" t="s">
        <v>58</v>
      </c>
    </row>
    <row r="34" spans="2:2" x14ac:dyDescent="0.3">
      <c r="B34" s="9" t="s">
        <v>47</v>
      </c>
    </row>
    <row r="35" spans="2:2" x14ac:dyDescent="0.3">
      <c r="B35" s="9" t="s">
        <v>48</v>
      </c>
    </row>
    <row r="36" spans="2:2" x14ac:dyDescent="0.3">
      <c r="B36" s="9" t="s">
        <v>46</v>
      </c>
    </row>
    <row r="37" spans="2:2" x14ac:dyDescent="0.3">
      <c r="B37" s="9"/>
    </row>
    <row r="38" spans="2:2" x14ac:dyDescent="0.3">
      <c r="B38" s="9"/>
    </row>
    <row r="39" spans="2:2" x14ac:dyDescent="0.3">
      <c r="B39" s="9"/>
    </row>
    <row r="40" spans="2:2" x14ac:dyDescent="0.3">
      <c r="B40" s="9"/>
    </row>
  </sheetData>
  <autoFilter ref="B1:B22" xr:uid="{D7F0F395-8F6D-4EA3-A756-C3AC1E87E952}">
    <sortState xmlns:xlrd2="http://schemas.microsoft.com/office/spreadsheetml/2017/richdata2" ref="B2:B36">
      <sortCondition ref="B1:B2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B5EC-8BE9-4142-881D-CA9D9BFD01A4}">
  <dimension ref="B1:B40"/>
  <sheetViews>
    <sheetView workbookViewId="0">
      <selection activeCell="B29" sqref="B29"/>
    </sheetView>
  </sheetViews>
  <sheetFormatPr baseColWidth="10" defaultColWidth="11.44140625" defaultRowHeight="14.4" x14ac:dyDescent="0.3"/>
  <cols>
    <col min="1" max="1" width="4.6640625" customWidth="1"/>
    <col min="2" max="2" width="35.109375" customWidth="1"/>
    <col min="3" max="3" width="5.6640625" customWidth="1"/>
  </cols>
  <sheetData>
    <row r="1" spans="2:2" ht="37.5" customHeight="1" x14ac:dyDescent="0.3">
      <c r="B1" s="5" t="s">
        <v>59</v>
      </c>
    </row>
    <row r="2" spans="2:2" x14ac:dyDescent="0.3">
      <c r="B2" s="9" t="s">
        <v>81</v>
      </c>
    </row>
    <row r="3" spans="2:2" x14ac:dyDescent="0.3">
      <c r="B3" s="9" t="s">
        <v>34</v>
      </c>
    </row>
    <row r="4" spans="2:2" x14ac:dyDescent="0.3">
      <c r="B4" s="9" t="s">
        <v>83</v>
      </c>
    </row>
    <row r="5" spans="2:2" x14ac:dyDescent="0.3">
      <c r="B5" s="9" t="s">
        <v>60</v>
      </c>
    </row>
    <row r="6" spans="2:2" x14ac:dyDescent="0.3">
      <c r="B6" s="9" t="s">
        <v>31</v>
      </c>
    </row>
    <row r="7" spans="2:2" x14ac:dyDescent="0.3">
      <c r="B7" s="9" t="s">
        <v>84</v>
      </c>
    </row>
    <row r="8" spans="2:2" x14ac:dyDescent="0.3">
      <c r="B8" s="9" t="s">
        <v>30</v>
      </c>
    </row>
    <row r="9" spans="2:2" x14ac:dyDescent="0.3">
      <c r="B9" s="9" t="s">
        <v>13</v>
      </c>
    </row>
    <row r="10" spans="2:2" x14ac:dyDescent="0.3">
      <c r="B10" s="9" t="s">
        <v>32</v>
      </c>
    </row>
    <row r="11" spans="2:2" x14ac:dyDescent="0.3">
      <c r="B11" s="9" t="s">
        <v>86</v>
      </c>
    </row>
    <row r="12" spans="2:2" x14ac:dyDescent="0.3">
      <c r="B12" s="9" t="s">
        <v>61</v>
      </c>
    </row>
    <row r="13" spans="2:2" x14ac:dyDescent="0.3">
      <c r="B13" s="9" t="s">
        <v>33</v>
      </c>
    </row>
    <row r="14" spans="2:2" x14ac:dyDescent="0.3">
      <c r="B14" s="9" t="s">
        <v>17</v>
      </c>
    </row>
    <row r="15" spans="2:2" x14ac:dyDescent="0.3">
      <c r="B15" s="9" t="s">
        <v>87</v>
      </c>
    </row>
    <row r="16" spans="2:2" x14ac:dyDescent="0.3">
      <c r="B16" s="9" t="s">
        <v>88</v>
      </c>
    </row>
    <row r="17" spans="2:2" x14ac:dyDescent="0.3">
      <c r="B17" s="9" t="s">
        <v>16</v>
      </c>
    </row>
    <row r="18" spans="2:2" x14ac:dyDescent="0.3">
      <c r="B18" s="9" t="s">
        <v>22</v>
      </c>
    </row>
    <row r="19" spans="2:2" x14ac:dyDescent="0.3">
      <c r="B19" s="9" t="s">
        <v>62</v>
      </c>
    </row>
    <row r="20" spans="2:2" x14ac:dyDescent="0.3">
      <c r="B20" s="9" t="s">
        <v>35</v>
      </c>
    </row>
    <row r="21" spans="2:2" x14ac:dyDescent="0.3">
      <c r="B21" s="9" t="s">
        <v>28</v>
      </c>
    </row>
    <row r="22" spans="2:2" x14ac:dyDescent="0.3">
      <c r="B22" s="9" t="s">
        <v>82</v>
      </c>
    </row>
    <row r="23" spans="2:2" x14ac:dyDescent="0.3">
      <c r="B23" s="9" t="s">
        <v>90</v>
      </c>
    </row>
    <row r="24" spans="2:2" x14ac:dyDescent="0.3">
      <c r="B24" s="9" t="s">
        <v>92</v>
      </c>
    </row>
    <row r="25" spans="2:2" x14ac:dyDescent="0.3">
      <c r="B25" s="9"/>
    </row>
    <row r="26" spans="2:2" x14ac:dyDescent="0.3">
      <c r="B26" s="9"/>
    </row>
    <row r="27" spans="2:2" x14ac:dyDescent="0.3">
      <c r="B27" s="9"/>
    </row>
    <row r="28" spans="2:2" x14ac:dyDescent="0.3">
      <c r="B28" s="9"/>
    </row>
    <row r="29" spans="2:2" x14ac:dyDescent="0.3">
      <c r="B29" s="9"/>
    </row>
    <row r="30" spans="2:2" x14ac:dyDescent="0.3">
      <c r="B30" s="9"/>
    </row>
    <row r="31" spans="2:2" x14ac:dyDescent="0.3">
      <c r="B31" s="9"/>
    </row>
    <row r="32" spans="2:2" x14ac:dyDescent="0.3">
      <c r="B32" s="9"/>
    </row>
    <row r="33" spans="2:2" x14ac:dyDescent="0.3">
      <c r="B33" s="9"/>
    </row>
    <row r="34" spans="2:2" x14ac:dyDescent="0.3">
      <c r="B34" s="9"/>
    </row>
    <row r="35" spans="2:2" x14ac:dyDescent="0.3">
      <c r="B35" s="9"/>
    </row>
    <row r="36" spans="2:2" x14ac:dyDescent="0.3">
      <c r="B36" s="9"/>
    </row>
    <row r="37" spans="2:2" x14ac:dyDescent="0.3">
      <c r="B37" s="9"/>
    </row>
    <row r="38" spans="2:2" x14ac:dyDescent="0.3">
      <c r="B38" s="9"/>
    </row>
    <row r="39" spans="2:2" x14ac:dyDescent="0.3">
      <c r="B39" s="9"/>
    </row>
    <row r="40" spans="2:2" x14ac:dyDescent="0.3">
      <c r="B40" s="9"/>
    </row>
  </sheetData>
  <autoFilter ref="B1:B16" xr:uid="{7C81B5EC-8BE9-4142-881D-CA9D9BFD01A4}">
    <sortState xmlns:xlrd2="http://schemas.microsoft.com/office/spreadsheetml/2017/richdata2" ref="B2:B24">
      <sortCondition ref="B1:B1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BD74-6ECF-4218-A0BF-20743FDB613E}">
  <dimension ref="B1:B38"/>
  <sheetViews>
    <sheetView workbookViewId="0">
      <selection activeCell="B19" sqref="B19"/>
    </sheetView>
  </sheetViews>
  <sheetFormatPr baseColWidth="10" defaultColWidth="11.44140625" defaultRowHeight="14.4" x14ac:dyDescent="0.3"/>
  <cols>
    <col min="1" max="1" width="4.6640625" customWidth="1"/>
    <col min="2" max="2" width="23.88671875" customWidth="1"/>
  </cols>
  <sheetData>
    <row r="1" spans="2:2" ht="37.5" customHeight="1" x14ac:dyDescent="0.3">
      <c r="B1" s="6" t="s">
        <v>63</v>
      </c>
    </row>
    <row r="2" spans="2:2" x14ac:dyDescent="0.3">
      <c r="B2" s="9" t="s">
        <v>64</v>
      </c>
    </row>
    <row r="3" spans="2:2" x14ac:dyDescent="0.3">
      <c r="B3" s="9" t="s">
        <v>12</v>
      </c>
    </row>
    <row r="4" spans="2:2" x14ac:dyDescent="0.3">
      <c r="B4" s="9" t="s">
        <v>24</v>
      </c>
    </row>
    <row r="5" spans="2:2" x14ac:dyDescent="0.3">
      <c r="B5" s="9" t="s">
        <v>65</v>
      </c>
    </row>
    <row r="6" spans="2:2" x14ac:dyDescent="0.3">
      <c r="B6" s="9" t="s">
        <v>39</v>
      </c>
    </row>
    <row r="7" spans="2:2" x14ac:dyDescent="0.3">
      <c r="B7" s="9" t="s">
        <v>29</v>
      </c>
    </row>
    <row r="8" spans="2:2" x14ac:dyDescent="0.3">
      <c r="B8" s="9" t="s">
        <v>52</v>
      </c>
    </row>
    <row r="9" spans="2:2" x14ac:dyDescent="0.3">
      <c r="B9" s="9" t="s">
        <v>14</v>
      </c>
    </row>
    <row r="10" spans="2:2" x14ac:dyDescent="0.3">
      <c r="B10" s="9" t="s">
        <v>71</v>
      </c>
    </row>
    <row r="11" spans="2:2" x14ac:dyDescent="0.3">
      <c r="B11" s="9" t="s">
        <v>72</v>
      </c>
    </row>
    <row r="12" spans="2:2" x14ac:dyDescent="0.3">
      <c r="B12" s="9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</sheetData>
  <autoFilter ref="B1:B7" xr:uid="{A8D3BD74-6ECF-4218-A0BF-20743FDB613E}">
    <sortState xmlns:xlrd2="http://schemas.microsoft.com/office/spreadsheetml/2017/richdata2" ref="B2:B9">
      <sortCondition ref="B1:B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1C65-68C6-42C6-85D7-51CEDCE03D9F}">
  <dimension ref="B1:B38"/>
  <sheetViews>
    <sheetView workbookViewId="0">
      <selection activeCell="B2" sqref="B2:B12"/>
    </sheetView>
  </sheetViews>
  <sheetFormatPr baseColWidth="10" defaultColWidth="11.44140625" defaultRowHeight="14.4" x14ac:dyDescent="0.3"/>
  <cols>
    <col min="1" max="1" width="4.6640625" customWidth="1"/>
    <col min="2" max="2" width="26.33203125" customWidth="1"/>
    <col min="3" max="3" width="5.6640625" customWidth="1"/>
  </cols>
  <sheetData>
    <row r="1" spans="2:2" ht="37.5" customHeight="1" x14ac:dyDescent="0.3">
      <c r="B1" s="6" t="s">
        <v>66</v>
      </c>
    </row>
    <row r="2" spans="2:2" x14ac:dyDescent="0.3">
      <c r="B2" s="9" t="s">
        <v>55</v>
      </c>
    </row>
    <row r="3" spans="2:2" x14ac:dyDescent="0.3">
      <c r="B3" s="9" t="s">
        <v>67</v>
      </c>
    </row>
    <row r="4" spans="2:2" x14ac:dyDescent="0.3">
      <c r="B4" s="9" t="s">
        <v>44</v>
      </c>
    </row>
    <row r="5" spans="2:2" x14ac:dyDescent="0.3">
      <c r="B5" s="9" t="s">
        <v>57</v>
      </c>
    </row>
    <row r="6" spans="2:2" x14ac:dyDescent="0.3">
      <c r="B6" s="9" t="s">
        <v>68</v>
      </c>
    </row>
    <row r="7" spans="2:2" x14ac:dyDescent="0.3">
      <c r="B7" s="9" t="s">
        <v>45</v>
      </c>
    </row>
    <row r="8" spans="2:2" x14ac:dyDescent="0.3">
      <c r="B8" s="9" t="s">
        <v>69</v>
      </c>
    </row>
    <row r="9" spans="2:2" x14ac:dyDescent="0.3">
      <c r="B9" s="9" t="s">
        <v>70</v>
      </c>
    </row>
    <row r="10" spans="2:2" x14ac:dyDescent="0.3">
      <c r="B10" s="9"/>
    </row>
    <row r="11" spans="2:2" x14ac:dyDescent="0.3">
      <c r="B11" s="9"/>
    </row>
    <row r="12" spans="2:2" x14ac:dyDescent="0.3">
      <c r="B12" s="9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</sheetData>
  <autoFilter ref="B1:B9" xr:uid="{EFCE1C65-68C6-42C6-85D7-51CEDCE03D9F}">
    <sortState xmlns:xlrd2="http://schemas.microsoft.com/office/spreadsheetml/2017/richdata2" ref="B2:B9">
      <sortCondition ref="B1:B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SUIVI PAIEMENTS</vt:lpstr>
      <vt:lpstr>PA FOURNISSEURS</vt:lpstr>
      <vt:lpstr>PA COLLABORATEURS</vt:lpstr>
      <vt:lpstr>PA DESCRIPTION FACT</vt:lpstr>
      <vt:lpstr>PA CONCERNE (LIEU FACT)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PESNEL</dc:creator>
  <cp:lastModifiedBy>PESNEL Sebastien</cp:lastModifiedBy>
  <dcterms:created xsi:type="dcterms:W3CDTF">2026-05-06T15:37:36Z</dcterms:created>
  <dcterms:modified xsi:type="dcterms:W3CDTF">2026-05-24T08:33:18Z</dcterms:modified>
</cp:coreProperties>
</file>